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324" activeTab="5"/>
  </bookViews>
  <sheets>
    <sheet name="工资汇总表" sheetId="1" r:id="rId1"/>
    <sheet name="高启强" sheetId="2" r:id="rId2"/>
    <sheet name="高启盛" sheetId="3" r:id="rId3"/>
    <sheet name="唐小虎" sheetId="4" r:id="rId4"/>
    <sheet name="唐小龙" sheetId="5" r:id="rId5"/>
    <sheet name="老默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<sst xmlns="http://schemas.openxmlformats.org/spreadsheetml/2006/main" count="114" uniqueCount="26">
  <si>
    <t>员工姓名</t>
  </si>
  <si>
    <t>基本工资</t>
  </si>
  <si>
    <t>岗位津贴</t>
  </si>
  <si>
    <t>加班费</t>
  </si>
  <si>
    <t>绩效奖金</t>
  </si>
  <si>
    <t>管理绩效</t>
  </si>
  <si>
    <t>副业收入项目</t>
  </si>
  <si>
    <t>副业收入</t>
  </si>
  <si>
    <t>综合收入</t>
  </si>
  <si>
    <t>个人所得税</t>
  </si>
  <si>
    <t>其他扣款</t>
  </si>
  <si>
    <t>实发工资</t>
  </si>
  <si>
    <t>是否领导岗</t>
  </si>
  <si>
    <t>入职日期</t>
  </si>
  <si>
    <t>工龄(年)</t>
  </si>
  <si>
    <t>高启强</t>
  </si>
  <si>
    <t>卖鱼费</t>
  </si>
  <si>
    <t>高启盛</t>
  </si>
  <si>
    <t>卖小灵通钱</t>
  </si>
  <si>
    <t>唐小虎</t>
  </si>
  <si>
    <t>游戏厅费</t>
  </si>
  <si>
    <t>唐小龙</t>
  </si>
  <si>
    <t>卫生费</t>
  </si>
  <si>
    <t>老默</t>
  </si>
  <si>
    <t>合计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</si>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</sst>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4" fontId="0" fillId="0" borderId="1" xfId="0" applyNumberFormat="1" applyBorder="1" applyAlignment="1">
      <alignment horizontal="center"/>
    </xf>
    <xf numFmtId="17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www.wps.cn/officeDocument/2023/relationships/customStorage" Target="customStorage/customStorage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"/>
  <sheetViews>
    <sheetView zoomScale="115" zoomScaleNormal="115" workbookViewId="0">
      <selection activeCell="B4" sqref="B4:I5"/>
    </sheetView>
  </sheetViews>
  <sheetFormatPr defaultColWidth="9" defaultRowHeight="14.4" outlineLevelRow="7"/>
  <cols>
    <col min="1" max="1" width="13.2222222222222" customWidth="1"/>
    <col min="2" max="15" width="10.4444444444444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5" t="s">
        <v>15</v>
      </c>
      <c r="B2" s="3">
        <v>15000</v>
      </c>
      <c r="C2" s="3">
        <v>3000</v>
      </c>
      <c r="D2" s="3">
        <v>2000</v>
      </c>
      <c r="E2" s="3">
        <v>5000</v>
      </c>
      <c r="F2" s="3">
        <v>8000</v>
      </c>
      <c r="G2" s="2" t="s">
        <v>16</v>
      </c>
      <c r="H2" s="3">
        <v>3800</v>
      </c>
      <c r="I2" s="3">
        <v>36800</v>
      </c>
      <c r="J2" s="3">
        <v>3680</v>
      </c>
      <c r="K2" s="3">
        <v>1000</v>
      </c>
      <c r="L2" s="3">
        <v>32120</v>
      </c>
      <c r="M2" s="2" t="b">
        <v>1</v>
      </c>
      <c r="N2" s="4">
        <v>43971</v>
      </c>
      <c r="O2" s="2">
        <v>5</v>
      </c>
    </row>
    <row r="3" spans="1:15">
      <c r="A3" t="s">
        <v>17</v>
      </c>
      <c r="B3">
        <v>12000</v>
      </c>
      <c r="C3">
        <v>2000</v>
      </c>
      <c r="D3">
        <v>1500</v>
      </c>
      <c r="E3">
        <v>3000</v>
      </c>
      <c r="F3">
        <v>0</v>
      </c>
      <c r="G3" t="s">
        <v>18</v>
      </c>
      <c r="H3">
        <v>2600</v>
      </c>
      <c r="I3">
        <v>21100</v>
      </c>
      <c r="J3">
        <v>2110</v>
      </c>
      <c r="K3">
        <v>800</v>
      </c>
      <c r="L3">
        <v>18190</v>
      </c>
      <c r="M3" t="b">
        <v>0</v>
      </c>
      <c r="N3" s="6">
        <v>44389</v>
      </c>
      <c r="O3">
        <v>3</v>
      </c>
    </row>
    <row r="4" spans="1:15">
      <c r="A4" t="s">
        <v>19</v>
      </c>
      <c r="B4">
        <v>10000</v>
      </c>
      <c r="C4">
        <v>1500</v>
      </c>
      <c r="D4">
        <v>1200</v>
      </c>
      <c r="E4">
        <v>2000</v>
      </c>
      <c r="F4">
        <v>0</v>
      </c>
      <c r="G4" t="s">
        <v>20</v>
      </c>
      <c r="H4">
        <v>1500</v>
      </c>
      <c r="I4">
        <v>16200</v>
      </c>
      <c r="J4">
        <v>1620</v>
      </c>
      <c r="K4">
        <v>600</v>
      </c>
      <c r="L4">
        <v>13980</v>
      </c>
      <c r="M4" t="b">
        <v>0</v>
      </c>
      <c r="N4" s="6">
        <v>45731</v>
      </c>
      <c r="O4">
        <v>0</v>
      </c>
    </row>
    <row r="5" spans="1:15">
      <c r="A5" t="s">
        <v>21</v>
      </c>
      <c r="B5">
        <v>10000</v>
      </c>
      <c r="C5">
        <v>1500</v>
      </c>
      <c r="D5">
        <v>1000</v>
      </c>
      <c r="E5">
        <v>2500</v>
      </c>
      <c r="F5">
        <v>0</v>
      </c>
      <c r="G5" t="s">
        <v>22</v>
      </c>
      <c r="H5">
        <v>200</v>
      </c>
      <c r="I5">
        <v>15200</v>
      </c>
      <c r="J5">
        <v>1520</v>
      </c>
      <c r="K5">
        <v>600</v>
      </c>
      <c r="L5">
        <v>13080</v>
      </c>
      <c r="M5" t="b">
        <v>0</v>
      </c>
      <c r="N5" s="6">
        <v>45748</v>
      </c>
      <c r="O5">
        <v>0</v>
      </c>
    </row>
    <row r="6" spans="1:15">
      <c r="A6" t="s">
        <v>23</v>
      </c>
      <c r="B6">
        <v>8000</v>
      </c>
      <c r="C6">
        <v>1500</v>
      </c>
      <c r="D6">
        <v>800</v>
      </c>
      <c r="E6">
        <v>1500</v>
      </c>
      <c r="F6">
        <v>0</v>
      </c>
      <c r="G6" t="s">
        <v>16</v>
      </c>
      <c r="H6">
        <v>1800</v>
      </c>
      <c r="I6">
        <v>13600</v>
      </c>
      <c r="J6">
        <v>1360</v>
      </c>
      <c r="K6">
        <v>400</v>
      </c>
      <c r="L6">
        <v>11840</v>
      </c>
      <c r="M6" t="b">
        <v>0</v>
      </c>
      <c r="N6" s="6">
        <v>43774</v>
      </c>
      <c r="O6">
        <v>5</v>
      </c>
    </row>
    <row r="7" spans="1:15">
      <c r="A7" t="s">
        <v>24</v>
      </c>
      <c r="B7">
        <f ca="1" t="shared" ref="B7:L7" si="0">SUM(B2:B7)</f>
        <v>0</v>
      </c>
      <c r="C7">
        <f ca="1" t="shared" si="0"/>
        <v>0</v>
      </c>
      <c r="D7">
        <f ca="1" t="shared" si="0"/>
        <v>0</v>
      </c>
      <c r="E7">
        <f ca="1" t="shared" si="0"/>
        <v>0</v>
      </c>
      <c r="F7">
        <f ca="1" t="shared" si="0"/>
        <v>0</v>
      </c>
      <c r="G7">
        <f ca="1" t="shared" si="0"/>
        <v>0</v>
      </c>
      <c r="H7">
        <f ca="1" t="shared" si="0"/>
        <v>0</v>
      </c>
      <c r="I7">
        <f ca="1" t="shared" si="0"/>
        <v>0</v>
      </c>
      <c r="J7">
        <f ca="1" t="shared" si="0"/>
        <v>0</v>
      </c>
      <c r="K7">
        <f ca="1" t="shared" si="0"/>
        <v>0</v>
      </c>
      <c r="L7">
        <f ca="1" t="shared" si="0"/>
        <v>0</v>
      </c>
      <c r="M7" t="s">
        <v>25</v>
      </c>
      <c r="N7" t="s">
        <v>25</v>
      </c>
      <c r="O7" t="s">
        <v>25</v>
      </c>
    </row>
    <row r="8" spans="1:1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"/>
  <sheetViews>
    <sheetView workbookViewId="0">
      <selection activeCell="A1" sqref="A1"/>
    </sheetView>
  </sheetViews>
  <sheetFormatPr defaultColWidth="9" defaultRowHeight="14.4" outlineLevelRow="1"/>
  <cols>
    <col min="1" max="1" width="6" customWidth="1"/>
    <col min="2" max="2" width="9" customWidth="1"/>
    <col min="3" max="8" width="8" customWidth="1"/>
    <col min="9" max="9" width="9" customWidth="1"/>
    <col min="10" max="11" width="8" customWidth="1"/>
    <col min="12" max="12" width="9" customWidth="1"/>
    <col min="13" max="13" width="7" customWidth="1"/>
    <col min="14" max="14" width="12" customWidth="1"/>
    <col min="15" max="15" width="7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 t="s">
        <v>15</v>
      </c>
      <c r="B2" s="3">
        <v>15000</v>
      </c>
      <c r="C2" s="3">
        <v>3000</v>
      </c>
      <c r="D2" s="3">
        <v>2000</v>
      </c>
      <c r="E2" s="3">
        <v>5000</v>
      </c>
      <c r="F2" s="3">
        <v>8000</v>
      </c>
      <c r="G2" s="2" t="s">
        <v>16</v>
      </c>
      <c r="H2" s="3">
        <v>3800</v>
      </c>
      <c r="I2" s="3">
        <v>36800</v>
      </c>
      <c r="J2" s="3">
        <v>3680</v>
      </c>
      <c r="K2" s="3">
        <v>1000</v>
      </c>
      <c r="L2" s="3">
        <v>32120</v>
      </c>
      <c r="M2" s="2" t="b">
        <v>1</v>
      </c>
      <c r="N2" s="4">
        <v>43971</v>
      </c>
      <c r="O2" s="2">
        <v>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"/>
  <sheetViews>
    <sheetView workbookViewId="0">
      <selection activeCell="A1" sqref="A1"/>
    </sheetView>
  </sheetViews>
  <sheetFormatPr defaultColWidth="9" defaultRowHeight="14.4" outlineLevelRow="1"/>
  <cols>
    <col min="1" max="1" width="6" customWidth="1"/>
    <col min="2" max="2" width="9" customWidth="1"/>
    <col min="3" max="5" width="8" customWidth="1"/>
    <col min="6" max="6" width="6" customWidth="1"/>
    <col min="7" max="8" width="8" customWidth="1"/>
    <col min="9" max="9" width="9" customWidth="1"/>
    <col min="10" max="10" width="8" customWidth="1"/>
    <col min="11" max="11" width="7" customWidth="1"/>
    <col min="12" max="12" width="9" customWidth="1"/>
    <col min="13" max="13" width="7" customWidth="1"/>
    <col min="14" max="14" width="12" customWidth="1"/>
    <col min="15" max="15" width="7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 t="s">
        <v>17</v>
      </c>
      <c r="B2" s="3">
        <v>12000</v>
      </c>
      <c r="C2" s="3">
        <v>2000</v>
      </c>
      <c r="D2" s="3">
        <v>1500</v>
      </c>
      <c r="E2" s="3">
        <v>3000</v>
      </c>
      <c r="F2" s="3">
        <v>0</v>
      </c>
      <c r="G2" s="2" t="s">
        <v>18</v>
      </c>
      <c r="H2" s="3">
        <v>2600</v>
      </c>
      <c r="I2" s="3">
        <v>21100</v>
      </c>
      <c r="J2" s="3">
        <v>2110</v>
      </c>
      <c r="K2" s="3">
        <v>800</v>
      </c>
      <c r="L2" s="3">
        <v>18190</v>
      </c>
      <c r="M2" s="2" t="b">
        <v>0</v>
      </c>
      <c r="N2" s="4">
        <v>44389</v>
      </c>
      <c r="O2" s="2">
        <v>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"/>
  <sheetViews>
    <sheetView workbookViewId="0">
      <selection activeCell="A1" sqref="A1"/>
    </sheetView>
  </sheetViews>
  <sheetFormatPr defaultColWidth="9" defaultRowHeight="14.4" outlineLevelRow="1"/>
  <cols>
    <col min="1" max="1" width="6" customWidth="1"/>
    <col min="2" max="2" width="9" customWidth="1"/>
    <col min="3" max="5" width="8" customWidth="1"/>
    <col min="6" max="6" width="6" customWidth="1"/>
    <col min="7" max="8" width="8" customWidth="1"/>
    <col min="9" max="9" width="9" customWidth="1"/>
    <col min="10" max="10" width="8" customWidth="1"/>
    <col min="11" max="11" width="7" customWidth="1"/>
    <col min="12" max="12" width="9" customWidth="1"/>
    <col min="13" max="13" width="7" customWidth="1"/>
    <col min="14" max="14" width="12" customWidth="1"/>
    <col min="15" max="15" width="7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 t="s">
        <v>19</v>
      </c>
      <c r="B2" s="3">
        <v>10000</v>
      </c>
      <c r="C2" s="3">
        <v>1500</v>
      </c>
      <c r="D2" s="3">
        <v>1200</v>
      </c>
      <c r="E2" s="3">
        <v>2000</v>
      </c>
      <c r="F2" s="3">
        <v>0</v>
      </c>
      <c r="G2" s="2" t="s">
        <v>20</v>
      </c>
      <c r="H2" s="3">
        <v>1500</v>
      </c>
      <c r="I2" s="3">
        <v>16200</v>
      </c>
      <c r="J2" s="3">
        <v>1620</v>
      </c>
      <c r="K2" s="3">
        <v>600</v>
      </c>
      <c r="L2" s="3">
        <v>13980</v>
      </c>
      <c r="M2" s="2" t="b">
        <v>0</v>
      </c>
      <c r="N2" s="4">
        <v>45731</v>
      </c>
      <c r="O2" s="2"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"/>
  <sheetViews>
    <sheetView workbookViewId="0">
      <selection activeCell="A1" sqref="A1"/>
    </sheetView>
  </sheetViews>
  <sheetFormatPr defaultColWidth="9" defaultRowHeight="14.4" outlineLevelRow="1"/>
  <cols>
    <col min="1" max="1" width="6" customWidth="1"/>
    <col min="2" max="2" width="9" customWidth="1"/>
    <col min="3" max="5" width="8" customWidth="1"/>
    <col min="6" max="6" width="6" customWidth="1"/>
    <col min="7" max="7" width="8" customWidth="1"/>
    <col min="8" max="8" width="7" customWidth="1"/>
    <col min="9" max="9" width="9" customWidth="1"/>
    <col min="10" max="10" width="8" customWidth="1"/>
    <col min="11" max="11" width="7" customWidth="1"/>
    <col min="12" max="12" width="9" customWidth="1"/>
    <col min="13" max="13" width="7" customWidth="1"/>
    <col min="14" max="14" width="12" customWidth="1"/>
    <col min="15" max="15" width="7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 t="s">
        <v>21</v>
      </c>
      <c r="B2" s="3">
        <v>10000</v>
      </c>
      <c r="C2" s="3">
        <v>1500</v>
      </c>
      <c r="D2" s="3">
        <v>1000</v>
      </c>
      <c r="E2" s="3">
        <v>2500</v>
      </c>
      <c r="F2" s="3">
        <v>0</v>
      </c>
      <c r="G2" s="2" t="s">
        <v>22</v>
      </c>
      <c r="H2" s="3">
        <v>200</v>
      </c>
      <c r="I2" s="3">
        <v>15200</v>
      </c>
      <c r="J2" s="3">
        <v>1520</v>
      </c>
      <c r="K2" s="3">
        <v>600</v>
      </c>
      <c r="L2" s="3">
        <v>13080</v>
      </c>
      <c r="M2" s="2" t="b">
        <v>0</v>
      </c>
      <c r="N2" s="4">
        <v>45748</v>
      </c>
      <c r="O2" s="2">
        <v>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"/>
  <sheetViews>
    <sheetView tabSelected="1" topLeftCell="C1" workbookViewId="0">
      <selection activeCell="J1" sqref="J1"/>
    </sheetView>
  </sheetViews>
  <sheetFormatPr defaultColWidth="9" defaultRowHeight="14.4" outlineLevelRow="1"/>
  <cols>
    <col min="1" max="15" width="14.8888888888889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 t="s">
        <v>23</v>
      </c>
      <c r="B2" s="3">
        <v>8000</v>
      </c>
      <c r="C2" s="3">
        <v>1500</v>
      </c>
      <c r="D2" s="3">
        <v>800</v>
      </c>
      <c r="E2" s="3">
        <v>1500</v>
      </c>
      <c r="F2" s="3">
        <v>0</v>
      </c>
      <c r="G2" s="2" t="s">
        <v>16</v>
      </c>
      <c r="H2" s="3">
        <v>1800</v>
      </c>
      <c r="I2" s="3">
        <v>13600</v>
      </c>
      <c r="J2" s="3">
        <v>1360</v>
      </c>
      <c r="K2" s="3">
        <v>400</v>
      </c>
      <c r="L2" s="3">
        <v>11840</v>
      </c>
      <c r="M2" s="2" t="b">
        <v>0</v>
      </c>
      <c r="N2" s="4">
        <v>43774</v>
      </c>
      <c r="O2" s="2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工资汇总表</vt:lpstr>
      <vt:lpstr>高启强</vt:lpstr>
      <vt:lpstr>高启盛</vt:lpstr>
      <vt:lpstr>唐小虎</vt:lpstr>
      <vt:lpstr>唐小龙</vt:lpstr>
      <vt:lpstr>老默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忠彬</cp:lastModifiedBy>
  <dcterms:created xsi:type="dcterms:W3CDTF">2025-06-17T00:29:00Z</dcterms:created>
  <dcterms:modified xsi:type="dcterms:W3CDTF">2025-06-24T04:17:50Z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891D6ABBE7104BD1B5BE603CDECF93C0_12</vt:lpwstr>
  </property>
  <property fmtid="{D5CDD505-2E9C-101B-9397-08002B2CF9AE}" pid="3" name="KSOProductBuildVer">
    <vt:lpwstr>2052-12.1.0.21541</vt:lpwstr>
  </property>
</Properties>
</file>